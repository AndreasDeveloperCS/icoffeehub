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34ce2ba69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e0dfeb7445648ff"/>
    <x:sheet xmlns:r="http://schemas.openxmlformats.org/officeDocument/2006/relationships" name="5Y Projection" sheetId="2" r:id="R3d649a0448a841fc"/>
    <x:sheet xmlns:r="http://schemas.openxmlformats.org/officeDocument/2006/relationships" name="Dashboard" sheetId="3" r:id="Ra0b14fc382ea4a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#,##0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E342E"/>
      </x:patternFill>
    </x:fill>
    <x:fill>
      <x:patternFill patternType="solid">
        <x:fgColor rgb="FFC9A22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b7ad9555746f8" /><Relationship Type="http://schemas.openxmlformats.org/officeDocument/2006/relationships/theme" Target="/xl/theme/theme1.xml" Id="R1c33bd65b6864d39" /><Relationship Type="http://schemas.openxmlformats.org/officeDocument/2006/relationships/sharedStrings" Target="/xl/sharedStrings.xml" Id="R1f1cc83bbc804183" /><Relationship Type="http://schemas.openxmlformats.org/officeDocument/2006/relationships/worksheet" Target="/xl/worksheets/sheet1.xml" Id="Rbe0dfeb7445648ff" /><Relationship Type="http://schemas.openxmlformats.org/officeDocument/2006/relationships/worksheet" Target="/xl/worksheets/sheet2.xml" Id="R3d649a0448a841fc" /><Relationship Type="http://schemas.openxmlformats.org/officeDocument/2006/relationships/worksheet" Target="/xl/worksheets/sheet3.xml" Id="Ra0b14fc382ea4a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c57d56c17041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Revenue, GMV, Gross Profit and EBITDA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#NAME?</c:v>
          </c:tx>
          <c:cat>
            <c:strRef>
              <c:f>'Dashboard'!$A$4:$A$7</c:f>
              <c:strCache>
                <c:ptCount val="0"/>
              </c:strCache>
            </c:strRef>
          </c:cat>
          <c:val>
            <c:numRef>
              <c:f>'Dashboard'!$B$4:$B$7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#NAME?</c:v>
          </c:tx>
          <c:cat>
            <c:strRef>
              <c:f>'Dashboard'!$A$4:$A$7</c:f>
              <c:strCache>
                <c:ptCount val="0"/>
              </c:strCache>
            </c:strRef>
          </c:cat>
          <c:val>
            <c:numRef>
              <c:f>'Dashboard'!$C$4:$C$7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#NAME?</c:v>
          </c:tx>
          <c:cat>
            <c:strRef>
              <c:f>'Dashboard'!$A$4:$A$7</c:f>
              <c:strCache>
                <c:ptCount val="0"/>
              </c:strCache>
            </c:strRef>
          </c:cat>
          <c:val>
            <c:numRef>
              <c:f>'Dashboard'!$D$4:$D$7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#NAME?</c:v>
          </c:tx>
          <c:cat>
            <c:strRef>
              <c:f>'Dashboard'!$A$4:$A$7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#NAME?</c:v>
          </c:tx>
          <c:cat>
            <c:strRef>
              <c:f>'Dashboard'!$A$4:$A$7</c:f>
              <c:strCache>
                <c:ptCount val="0"/>
              </c:strCache>
            </c:strRef>
          </c:cat>
          <c:val>
            <c:numRef>
              <c:f>'Dashboard'!$F$4:$F$7</c:f>
              <c:numCache>
                <c:formatCode>€#,##0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c57d56c17041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8c8de2399ec42c5" /></Relationships>
</file>

<file path=xl/worksheets/sheet1.xml><?xml version="1.0" encoding="utf-8"?>
<x:worksheet xmlns:x="http://schemas.openxmlformats.org/spreadsheetml/2006/main">
  <x:sheetFormatPr defaultRowHeight="15"/>
  <x:cols>
    <x:col min="1" max="1" width="26.5" hidden="0" customWidth="1"/>
    <x:col min="2" max="2" width="6.130000114440918" hidden="0" customWidth="1"/>
    <x:col min="3" max="3" width="6.130000114440918" hidden="0" customWidth="1"/>
    <x:col min="4" max="4" width="6.130000114440918" hidden="0" customWidth="1"/>
    <x:col min="5" max="5" width="7.130000114440918" hidden="0" customWidth="1"/>
    <x:col min="6" max="6" width="7.130000114440918" hidden="0" customWidth="1"/>
  </x:cols>
  <x:sheetData>
    <x:row r="1">
      <x:c r="A1" s="3" t="str">
        <x:v>Assumption</x:v>
      </x:c>
      <x:c r="B1" s="3" t="str">
        <x:v>Year 1</x:v>
      </x:c>
      <x:c r="C1" s="3" t="str">
        <x:v>Year 2</x:v>
      </x:c>
      <x:c r="D1" s="3" t="str">
        <x:v>Year 3</x:v>
      </x:c>
      <x:c r="E1" s="3" t="str">
        <x:v>Year 4</x:v>
      </x:c>
      <x:c r="F1" s="3" t="str">
        <x:v>Year 5</x:v>
      </x:c>
    </x:row>
    <x:row r="2">
      <x:c r="A2" t="str">
        <x:v>Active customers</x:v>
      </x:c>
      <x:c r="B2" t="n">
        <x:v>5000</x:v>
      </x:c>
      <x:c r="C2" t="n">
        <x:v>25000</x:v>
      </x:c>
      <x:c r="D2" t="n">
        <x:v>100000</x:v>
      </x:c>
      <x:c r="E2" t="n">
        <x:v>300000</x:v>
      </x:c>
      <x:c r="F2" t="n">
        <x:v>800000</x:v>
      </x:c>
    </x:row>
    <x:row r="3">
      <x:c r="A3" t="str">
        <x:v>Orders per customer/year</x:v>
      </x:c>
      <x:c r="B3" t="n">
        <x:v>2</x:v>
      </x:c>
      <x:c r="C3" t="n">
        <x:v>2.5</x:v>
      </x:c>
      <x:c r="D3" t="n">
        <x:v>3</x:v>
      </x:c>
      <x:c r="E3" t="n">
        <x:v>3.5</x:v>
      </x:c>
      <x:c r="F3" t="n">
        <x:v>4</x:v>
      </x:c>
    </x:row>
    <x:row r="4">
      <x:c r="A4" t="str">
        <x:v>Average order value EUR</x:v>
      </x:c>
      <x:c r="B4" t="n">
        <x:v>35</x:v>
      </x:c>
      <x:c r="C4" t="n">
        <x:v>38</x:v>
      </x:c>
      <x:c r="D4" t="n">
        <x:v>42</x:v>
      </x:c>
      <x:c r="E4" t="n">
        <x:v>46</x:v>
      </x:c>
      <x:c r="F4" t="n">
        <x:v>50</x:v>
      </x:c>
    </x:row>
    <x:row r="5">
      <x:c r="A5" t="str">
        <x:v>Marketplace commission</x:v>
      </x:c>
      <x:c r="B5" t="n">
        <x:v>0.15</x:v>
      </x:c>
      <x:c r="C5" t="n">
        <x:v>0.16</x:v>
      </x:c>
      <x:c r="D5" t="n">
        <x:v>0.17</x:v>
      </x:c>
      <x:c r="E5" t="n">
        <x:v>0.18</x:v>
      </x:c>
      <x:c r="F5" t="n">
        <x:v>0.18</x:v>
      </x:c>
    </x:row>
    <x:row r="6">
      <x:c r="A6" t="str">
        <x:v>Seller subscriptions EUR</x:v>
      </x:c>
      <x:c r="B6" t="n">
        <x:v>12000</x:v>
      </x:c>
      <x:c r="C6" t="n">
        <x:v>60000</x:v>
      </x:c>
      <x:c r="D6" t="n">
        <x:v>180000</x:v>
      </x:c>
      <x:c r="E6" t="n">
        <x:v>420000</x:v>
      </x:c>
      <x:c r="F6" t="n">
        <x:v>900000</x:v>
      </x:c>
    </x:row>
    <x:row r="7">
      <x:c r="A7" t="str">
        <x:v>Courses/ads/affiliate EUR</x:v>
      </x:c>
      <x:c r="B7" t="n">
        <x:v>8000</x:v>
      </x:c>
      <x:c r="C7" t="n">
        <x:v>50000</x:v>
      </x:c>
      <x:c r="D7" t="n">
        <x:v>150000</x:v>
      </x:c>
      <x:c r="E7" t="n">
        <x:v>400000</x:v>
      </x:c>
      <x:c r="F7" t="n">
        <x:v>900000</x:v>
      </x:c>
    </x:row>
    <x:row r="8">
      <x:c r="A8" t="str">
        <x:v>COGS/payment/logistics support %</x:v>
      </x:c>
      <x:c r="B8" t="n">
        <x:v>0.4</x:v>
      </x:c>
      <x:c r="C8" t="n">
        <x:v>0.37</x:v>
      </x:c>
      <x:c r="D8" t="n">
        <x:v>0.35</x:v>
      </x:c>
      <x:c r="E8" t="n">
        <x:v>0.33</x:v>
      </x:c>
      <x:c r="F8" t="n">
        <x:v>0.32</x:v>
      </x:c>
    </x:row>
    <x:row r="9">
      <x:c r="A9" t="str">
        <x:v>Marketing % revenue</x:v>
      </x:c>
      <x:c r="B9" t="n">
        <x:v>0.45</x:v>
      </x:c>
      <x:c r="C9" t="n">
        <x:v>0.35</x:v>
      </x:c>
      <x:c r="D9" t="n">
        <x:v>0.25</x:v>
      </x:c>
      <x:c r="E9" t="n">
        <x:v>0.18</x:v>
      </x:c>
      <x:c r="F9" t="n">
        <x:v>0.15</x:v>
      </x:c>
    </x:row>
    <x:row r="10">
      <x:c r="A10" t="str">
        <x:v>Team/platform fixed costs EUR</x:v>
      </x:c>
      <x:c r="B10" t="n">
        <x:v>220000</x:v>
      </x:c>
      <x:c r="C10" t="n">
        <x:v>420000</x:v>
      </x:c>
      <x:c r="D10" t="n">
        <x:v>750000</x:v>
      </x:c>
      <x:c r="E10" t="n">
        <x:v>1200000</x:v>
      </x:c>
      <x:c r="F10" t="n">
        <x:v>2000000</x:v>
      </x:c>
    </x:row>
    <x:row r="11">
      <x:c r="A11" t="str">
        <x:v>Other operating costs EUR</x:v>
      </x:c>
      <x:c r="B11" t="n">
        <x:v>80000</x:v>
      </x:c>
      <x:c r="C11" t="n">
        <x:v>150000</x:v>
      </x:c>
      <x:c r="D11" t="n">
        <x:v>250000</x:v>
      </x:c>
      <x:c r="E11" t="n">
        <x:v>420000</x:v>
      </x:c>
      <x:c r="F11" t="n">
        <x:v>700000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8.130000114440918" hidden="0" customWidth="1"/>
    <x:col min="3" max="3" width="8.880000114440918" hidden="0" customWidth="1"/>
    <x:col min="4" max="4" width="9.880000114440918" hidden="0" customWidth="1"/>
    <x:col min="5" max="5" width="9.880000114440918" hidden="0" customWidth="1"/>
    <x:col min="6" max="6" width="10.75" hidden="0" customWidth="1"/>
  </x:cols>
  <x:sheetData>
    <x:row r="1">
      <x:c r="A1" s="3" t="str">
        <x:v>Metric</x:v>
      </x:c>
      <x:c r="B1" s="3" t="str">
        <x:v>Year 1</x:v>
      </x:c>
      <x:c r="C1" s="3" t="str">
        <x:v>Year 2</x:v>
      </x:c>
      <x:c r="D1" s="3" t="str">
        <x:v>Year 3</x:v>
      </x:c>
      <x:c r="E1" s="3" t="str">
        <x:v>Year 4</x:v>
      </x:c>
      <x:c r="F1" s="3" t="str">
        <x:v>Year 5</x:v>
      </x:c>
    </x:row>
    <x:row r="2">
      <x:c r="A2" t="str">
        <x:v>Gross merchandise value (GMV)</x:v>
      </x:c>
      <x:c r="B2" s="6" t="n">
        <x:f>Inputs!B2*Inputs!B3*Inputs!B4</x:f>
        <x:v>350000</x:v>
      </x:c>
      <x:c r="C2" s="6" t="n">
        <x:f>Inputs!C2*Inputs!C3*Inputs!C4</x:f>
        <x:v>2375000</x:v>
      </x:c>
      <x:c r="D2" s="6" t="n">
        <x:f>Inputs!D2*Inputs!D3*Inputs!D4</x:f>
        <x:v>12600000</x:v>
      </x:c>
      <x:c r="E2" s="6" t="n">
        <x:f>Inputs!E2*Inputs!E3*Inputs!E4</x:f>
        <x:v>48300000</x:v>
      </x:c>
      <x:c r="F2" s="6" t="n">
        <x:f>Inputs!F2*Inputs!F3*Inputs!F4</x:f>
        <x:v>160000000</x:v>
      </x:c>
    </x:row>
    <x:row r="3">
      <x:c r="A3" t="str">
        <x:v>Marketplace commission revenue</x:v>
      </x:c>
      <x:c r="B3" s="6" t="n">
        <x:f>B2*Inputs!B5</x:f>
        <x:v>52500</x:v>
      </x:c>
      <x:c r="C3" s="6" t="n">
        <x:f>C2*Inputs!C5</x:f>
        <x:v>380000</x:v>
      </x:c>
      <x:c r="D3" s="6" t="n">
        <x:f>D2*Inputs!D5</x:f>
        <x:v>2142000</x:v>
      </x:c>
      <x:c r="E3" s="6" t="n">
        <x:f>E2*Inputs!E5</x:f>
        <x:v>8694000</x:v>
      </x:c>
      <x:c r="F3" s="6" t="n">
        <x:f>F2*Inputs!F5</x:f>
        <x:v>28800000</x:v>
      </x:c>
    </x:row>
    <x:row r="4">
      <x:c r="A4" t="str">
        <x:v>Seller subscription revenue</x:v>
      </x:c>
      <x:c r="B4" s="6" t="n">
        <x:f>Inputs!B6</x:f>
        <x:v>12000</x:v>
      </x:c>
      <x:c r="C4" s="6" t="n">
        <x:f>Inputs!C6</x:f>
        <x:v>60000</x:v>
      </x:c>
      <x:c r="D4" s="6" t="n">
        <x:f>Inputs!D6</x:f>
        <x:v>180000</x:v>
      </x:c>
      <x:c r="E4" s="6" t="n">
        <x:f>Inputs!E6</x:f>
        <x:v>420000</x:v>
      </x:c>
      <x:c r="F4" s="6" t="n">
        <x:f>Inputs!F6</x:f>
        <x:v>900000</x:v>
      </x:c>
    </x:row>
    <x:row r="5">
      <x:c r="A5" t="str">
        <x:v>Courses/ads/affiliate revenue</x:v>
      </x:c>
      <x:c r="B5" s="6" t="n">
        <x:f>Inputs!B7</x:f>
        <x:v>8000</x:v>
      </x:c>
      <x:c r="C5" s="6" t="n">
        <x:f>Inputs!C7</x:f>
        <x:v>50000</x:v>
      </x:c>
      <x:c r="D5" s="6" t="n">
        <x:f>Inputs!D7</x:f>
        <x:v>150000</x:v>
      </x:c>
      <x:c r="E5" s="6" t="n">
        <x:f>Inputs!E7</x:f>
        <x:v>400000</x:v>
      </x:c>
      <x:c r="F5" s="6" t="n">
        <x:f>Inputs!F7</x:f>
        <x:v>900000</x:v>
      </x:c>
    </x:row>
    <x:row r="6">
      <x:c r="A6" t="str">
        <x:v>Total revenue</x:v>
      </x:c>
      <x:c r="B6" s="6" t="n">
        <x:f>SUM(B3:B5)</x:f>
        <x:v>72500</x:v>
      </x:c>
      <x:c r="C6" s="6" t="n">
        <x:f>SUM(C3:C5)</x:f>
        <x:v>490000</x:v>
      </x:c>
      <x:c r="D6" s="6" t="n">
        <x:f>SUM(D3:D5)</x:f>
        <x:v>2472000</x:v>
      </x:c>
      <x:c r="E6" s="6" t="n">
        <x:f>SUM(E3:E5)</x:f>
        <x:v>9514000</x:v>
      </x:c>
      <x:c r="F6" s="6" t="n">
        <x:f>SUM(F3:F5)</x:f>
        <x:v>30600000</x:v>
      </x:c>
    </x:row>
    <x:row r="7">
      <x:c r="A7" t="str">
        <x:v>Variable costs</x:v>
      </x:c>
      <x:c r="B7" s="6" t="n">
        <x:f>B6*Inputs!B8</x:f>
        <x:v>29000</x:v>
      </x:c>
      <x:c r="C7" s="6" t="n">
        <x:f>C6*Inputs!C8</x:f>
        <x:v>181300</x:v>
      </x:c>
      <x:c r="D7" s="6" t="n">
        <x:f>D6*Inputs!D8</x:f>
        <x:v>865200</x:v>
      </x:c>
      <x:c r="E7" s="6" t="n">
        <x:f>E6*Inputs!E8</x:f>
        <x:v>3139620</x:v>
      </x:c>
      <x:c r="F7" s="6" t="n">
        <x:f>F6*Inputs!F8</x:f>
        <x:v>9792000</x:v>
      </x:c>
    </x:row>
    <x:row r="8">
      <x:c r="A8" t="str">
        <x:v>Gross profit</x:v>
      </x:c>
      <x:c r="B8" s="6" t="n">
        <x:f>B6-B7</x:f>
        <x:v>43500</x:v>
      </x:c>
      <x:c r="C8" s="6" t="n">
        <x:f>C6-C7</x:f>
        <x:v>308700</x:v>
      </x:c>
      <x:c r="D8" s="6" t="n">
        <x:f>D6-D7</x:f>
        <x:v>1606800</x:v>
      </x:c>
      <x:c r="E8" s="6" t="n">
        <x:f>E6-E7</x:f>
        <x:v>6374380</x:v>
      </x:c>
      <x:c r="F8" s="6" t="n">
        <x:f>F6-F7</x:f>
        <x:v>20808000</x:v>
      </x:c>
    </x:row>
    <x:row r="9">
      <x:c r="A9" t="str">
        <x:v>Marketing cost</x:v>
      </x:c>
      <x:c r="B9" s="6" t="n">
        <x:f>B6*Inputs!B9</x:f>
        <x:v>32625</x:v>
      </x:c>
      <x:c r="C9" s="6" t="n">
        <x:f>C6*Inputs!C9</x:f>
        <x:v>171500</x:v>
      </x:c>
      <x:c r="D9" s="6" t="n">
        <x:f>D6*Inputs!D9</x:f>
        <x:v>618000</x:v>
      </x:c>
      <x:c r="E9" s="6" t="n">
        <x:f>E6*Inputs!E9</x:f>
        <x:v>1712520</x:v>
      </x:c>
      <x:c r="F9" s="6" t="n">
        <x:f>F6*Inputs!F9</x:f>
        <x:v>4590000</x:v>
      </x:c>
    </x:row>
    <x:row r="10">
      <x:c r="A10" t="str">
        <x:v>Team/platform fixed costs</x:v>
      </x:c>
      <x:c r="B10" s="6" t="n">
        <x:f>Inputs!B10</x:f>
        <x:v>220000</x:v>
      </x:c>
      <x:c r="C10" s="6" t="n">
        <x:f>Inputs!C10</x:f>
        <x:v>420000</x:v>
      </x:c>
      <x:c r="D10" s="6" t="n">
        <x:f>Inputs!D10</x:f>
        <x:v>750000</x:v>
      </x:c>
      <x:c r="E10" s="6" t="n">
        <x:f>Inputs!E10</x:f>
        <x:v>1200000</x:v>
      </x:c>
      <x:c r="F10" s="6" t="n">
        <x:f>Inputs!F10</x:f>
        <x:v>2000000</x:v>
      </x:c>
    </x:row>
    <x:row r="11">
      <x:c r="A11" t="str">
        <x:v>Other operating costs</x:v>
      </x:c>
      <x:c r="B11" s="6" t="n">
        <x:f>Inputs!B11</x:f>
        <x:v>80000</x:v>
      </x:c>
      <x:c r="C11" s="6" t="n">
        <x:f>Inputs!C11</x:f>
        <x:v>150000</x:v>
      </x:c>
      <x:c r="D11" s="6" t="n">
        <x:f>Inputs!D11</x:f>
        <x:v>250000</x:v>
      </x:c>
      <x:c r="E11" s="6" t="n">
        <x:f>Inputs!E11</x:f>
        <x:v>420000</x:v>
      </x:c>
      <x:c r="F11" s="6" t="n">
        <x:f>Inputs!F11</x:f>
        <x:v>700000</x:v>
      </x:c>
    </x:row>
    <x:row r="12">
      <x:c r="A12" t="str">
        <x:v>EBITDA</x:v>
      </x:c>
      <x:c r="B12" s="6" t="n">
        <x:f>B8-B9-B10-B11</x:f>
        <x:v>-289125</x:v>
      </x:c>
      <x:c r="C12" s="6" t="n">
        <x:f>C8-C9-C10-C11</x:f>
        <x:v>-432800</x:v>
      </x:c>
      <x:c r="D12" s="6" t="n">
        <x:f>D8-D9-D10-D11</x:f>
        <x:v>-11200</x:v>
      </x:c>
      <x:c r="E12" s="6" t="n">
        <x:f>E8-E9-E10-E11</x:f>
        <x:v>3041860</x:v>
      </x:c>
      <x:c r="F12" s="6" t="n">
        <x:f>F8-F9-F10-F11</x:f>
        <x:v>13518000</x:v>
      </x:c>
    </x:row>
    <x:row r="13">
      <x:c r="A13" t="str">
        <x:v>EBITDA margin</x:v>
      </x:c>
      <x:c r="B13" s="8" t="n">
        <x:f>B12/B6</x:f>
        <x:v>-3.9879310344827585</x:v>
      </x:c>
      <x:c r="C13" s="8" t="n">
        <x:f>C12/C6</x:f>
        <x:v>-0.883265306122449</x:v>
      </x:c>
      <x:c r="D13" s="8" t="n">
        <x:f>D12/D6</x:f>
        <x:v>-0.004530744336569579</x:v>
      </x:c>
      <x:c r="E13" s="8" t="n">
        <x:f>E12/E6</x:f>
        <x:v>0.3197246163548455</x:v>
      </x:c>
      <x:c r="F13" s="8" t="n">
        <x:f>F12/F6</x:f>
        <x:v>0.44176470588235295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3.25" hidden="0" customWidth="1"/>
    <x:col min="2" max="2" width="8.130000114440918" hidden="0" customWidth="1"/>
    <x:col min="3" max="3" width="8.880000114440918" hidden="0" customWidth="1"/>
    <x:col min="4" max="4" width="9.880000114440918" hidden="0" customWidth="1"/>
    <x:col min="5" max="5" width="9.880000114440918" hidden="0" customWidth="1"/>
    <x:col min="6" max="6" width="10.75" hidden="0" customWidth="1"/>
  </x:cols>
  <x:sheetData>
    <x:row r="1">
      <x:c r="A1" s="11" t="str">
        <x:v>iCoffeeHub 5-Year Financial Dashboard</x:v>
      </x:c>
    </x:row>
    <x:row r="3">
      <x:c r="A3" s="15" t="str">
        <x:v>Metric</x:v>
      </x:c>
      <x:c r="B3" s="15" t="str">
        <x:v>Year 1</x:v>
      </x:c>
      <x:c r="C3" s="15" t="str">
        <x:v>Year 2</x:v>
      </x:c>
      <x:c r="D3" s="15" t="str">
        <x:v>Year 3</x:v>
      </x:c>
      <x:c r="E3" s="15" t="str">
        <x:v>Year 4</x:v>
      </x:c>
      <x:c r="F3" s="15" t="str">
        <x:v>Year 5</x:v>
      </x:c>
    </x:row>
    <x:row r="4">
      <x:c r="A4" t="str">
        <x:v>GMV</x:v>
      </x:c>
      <x:c r="B4" s="6" t="n">
        <x:f>'5Y Projection'!B2</x:f>
        <x:v>350000</x:v>
      </x:c>
      <x:c r="C4" s="6" t="n">
        <x:f>'5Y Projection'!C2</x:f>
        <x:v>2375000</x:v>
      </x:c>
      <x:c r="D4" s="6" t="n">
        <x:f>'5Y Projection'!D2</x:f>
        <x:v>12600000</x:v>
      </x:c>
      <x:c r="E4" s="6" t="n">
        <x:f>'5Y Projection'!E2</x:f>
        <x:v>48300000</x:v>
      </x:c>
      <x:c r="F4" s="6" t="n">
        <x:f>'5Y Projection'!F2</x:f>
        <x:v>160000000</x:v>
      </x:c>
    </x:row>
    <x:row r="5">
      <x:c r="A5" t="str">
        <x:v>Revenue</x:v>
      </x:c>
      <x:c r="B5" s="6" t="n">
        <x:f>'5Y Projection'!B6</x:f>
        <x:v>72500</x:v>
      </x:c>
      <x:c r="C5" s="6" t="n">
        <x:f>'5Y Projection'!C6</x:f>
        <x:v>490000</x:v>
      </x:c>
      <x:c r="D5" s="6" t="n">
        <x:f>'5Y Projection'!D6</x:f>
        <x:v>2472000</x:v>
      </x:c>
      <x:c r="E5" s="6" t="n">
        <x:f>'5Y Projection'!E6</x:f>
        <x:v>9514000</x:v>
      </x:c>
      <x:c r="F5" s="6" t="n">
        <x:f>'5Y Projection'!F6</x:f>
        <x:v>30600000</x:v>
      </x:c>
    </x:row>
    <x:row r="6">
      <x:c r="A6" t="str">
        <x:v>Gross Profit</x:v>
      </x:c>
      <x:c r="B6" s="6" t="n">
        <x:f>'5Y Projection'!B8</x:f>
        <x:v>43500</x:v>
      </x:c>
      <x:c r="C6" s="6" t="n">
        <x:f>'5Y Projection'!C8</x:f>
        <x:v>308700</x:v>
      </x:c>
      <x:c r="D6" s="6" t="n">
        <x:f>'5Y Projection'!D8</x:f>
        <x:v>1606800</x:v>
      </x:c>
      <x:c r="E6" s="6" t="n">
        <x:f>'5Y Projection'!E8</x:f>
        <x:v>6374380</x:v>
      </x:c>
      <x:c r="F6" s="6" t="n">
        <x:f>'5Y Projection'!F8</x:f>
        <x:v>20808000</x:v>
      </x:c>
    </x:row>
    <x:row r="7">
      <x:c r="A7" t="str">
        <x:v>EBITDA</x:v>
      </x:c>
      <x:c r="B7" s="6" t="n">
        <x:f>'5Y Projection'!B12</x:f>
        <x:v>-289125</x:v>
      </x:c>
      <x:c r="C7" s="6" t="n">
        <x:f>'5Y Projection'!C12</x:f>
        <x:v>-432800</x:v>
      </x:c>
      <x:c r="D7" s="6" t="n">
        <x:f>'5Y Projection'!D12</x:f>
        <x:v>-11200</x:v>
      </x:c>
      <x:c r="E7" s="6" t="n">
        <x:f>'5Y Projection'!E12</x:f>
        <x:v>3041860</x:v>
      </x:c>
      <x:c r="F7" s="6" t="n">
        <x:f>'5Y Projection'!F12</x:f>
        <x:v>13518000</x:v>
      </x:c>
    </x:row>
    <x:row r="8">
      <x:c r="A8" t="str">
        <x:v>EBITDA Margin</x:v>
      </x:c>
      <x:c r="B8" s="8" t="n">
        <x:f>'5Y Projection'!B13</x:f>
        <x:v>-3.9879310344827585</x:v>
      </x:c>
      <x:c r="C8" s="8" t="n">
        <x:f>'5Y Projection'!C13</x:f>
        <x:v>-0.883265306122449</x:v>
      </x:c>
      <x:c r="D8" s="8" t="n">
        <x:f>'5Y Projection'!D13</x:f>
        <x:v>-0.004530744336569579</x:v>
      </x:c>
      <x:c r="E8" s="8" t="n">
        <x:f>'5Y Projection'!E13</x:f>
        <x:v>0.3197246163548455</x:v>
      </x:c>
      <x:c r="F8" s="8" t="n">
        <x:f>'5Y Projection'!F13</x:f>
        <x:v>0.44176470588235295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e8c8de2399ec42c5"/>
</x:worksheet>
</file>